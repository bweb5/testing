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9a8228a68915157/English/Documents/Senior Design/Excel Calculators/Some excels/"/>
    </mc:Choice>
  </mc:AlternateContent>
  <xr:revisionPtr revIDLastSave="6" documentId="13_ncr:1_{7C263623-6263-4FE0-AE6A-92DD08724D74}" xr6:coauthVersionLast="47" xr6:coauthVersionMax="47" xr10:uidLastSave="{B5940048-A634-4F71-B8FC-09DCFC778529}"/>
  <bookViews>
    <workbookView xWindow="-108" yWindow="-108" windowWidth="23256" windowHeight="12576" xr2:uid="{A813619A-9C45-4C25-9701-6C81C5EFD7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 l="1"/>
  <c r="C18" i="1"/>
  <c r="C22" i="1" s="1"/>
  <c r="O24" i="1"/>
  <c r="O25" i="1"/>
  <c r="O26" i="1"/>
  <c r="O27" i="1"/>
  <c r="O28" i="1"/>
  <c r="O29" i="1"/>
  <c r="O30" i="1"/>
  <c r="M24" i="1"/>
  <c r="N24" i="1" s="1"/>
  <c r="M25" i="1"/>
  <c r="N25" i="1" s="1"/>
  <c r="M26" i="1"/>
  <c r="N26" i="1" s="1"/>
  <c r="L9" i="1"/>
  <c r="M9" i="1" s="1"/>
  <c r="N9" i="1" s="1"/>
  <c r="L10" i="1"/>
  <c r="M10" i="1" s="1"/>
  <c r="N10" i="1" s="1"/>
  <c r="L11" i="1"/>
  <c r="M11" i="1" s="1"/>
  <c r="N11" i="1" s="1"/>
  <c r="L12" i="1"/>
  <c r="M12" i="1" s="1"/>
  <c r="N12" i="1" s="1"/>
  <c r="L13" i="1"/>
  <c r="M13" i="1" s="1"/>
  <c r="N13" i="1" s="1"/>
  <c r="L14" i="1"/>
  <c r="M14" i="1" s="1"/>
  <c r="N14" i="1" s="1"/>
  <c r="L15" i="1"/>
  <c r="M15" i="1" s="1"/>
  <c r="N15" i="1" s="1"/>
  <c r="L16" i="1"/>
  <c r="M16" i="1" s="1"/>
  <c r="N16" i="1" s="1"/>
  <c r="L17" i="1"/>
  <c r="M17" i="1" s="1"/>
  <c r="N17" i="1" s="1"/>
  <c r="L18" i="1"/>
  <c r="M18" i="1" s="1"/>
  <c r="N18" i="1" s="1"/>
  <c r="L19" i="1"/>
  <c r="M19" i="1" s="1"/>
  <c r="N19" i="1" s="1"/>
  <c r="L20" i="1"/>
  <c r="M20" i="1" s="1"/>
  <c r="N20" i="1" s="1"/>
  <c r="L21" i="1"/>
  <c r="M21" i="1" s="1"/>
  <c r="N21" i="1" s="1"/>
  <c r="L22" i="1"/>
  <c r="M22" i="1" s="1"/>
  <c r="N22" i="1" s="1"/>
  <c r="L23" i="1"/>
  <c r="M23" i="1" s="1"/>
  <c r="L24" i="1"/>
  <c r="L25" i="1"/>
  <c r="L26" i="1"/>
  <c r="L27" i="1"/>
  <c r="M27" i="1" s="1"/>
  <c r="N27" i="1" s="1"/>
  <c r="L28" i="1"/>
  <c r="M28" i="1" s="1"/>
  <c r="N28" i="1" s="1"/>
  <c r="L29" i="1"/>
  <c r="M29" i="1" s="1"/>
  <c r="N29" i="1" s="1"/>
  <c r="L30" i="1"/>
  <c r="M30" i="1" s="1"/>
  <c r="N30" i="1" s="1"/>
  <c r="L31" i="1"/>
  <c r="M31" i="1" s="1"/>
  <c r="N31" i="1" s="1"/>
  <c r="L32" i="1"/>
  <c r="M32" i="1" s="1"/>
  <c r="N32" i="1" s="1"/>
  <c r="L33" i="1"/>
  <c r="M33" i="1" s="1"/>
  <c r="N33" i="1" s="1"/>
  <c r="M8" i="1"/>
  <c r="N8" i="1" s="1"/>
  <c r="P8" i="1"/>
  <c r="P9" i="1"/>
  <c r="P33" i="1"/>
  <c r="P32" i="1"/>
  <c r="P31" i="1"/>
  <c r="P30" i="1"/>
  <c r="P29" i="1"/>
  <c r="P28" i="1"/>
  <c r="P27" i="1"/>
  <c r="P26" i="1"/>
  <c r="P25" i="1"/>
  <c r="P24" i="1"/>
  <c r="P23" i="1"/>
  <c r="P22" i="1"/>
  <c r="P21" i="1"/>
  <c r="P20" i="1"/>
  <c r="P19" i="1"/>
  <c r="P18" i="1"/>
  <c r="P17" i="1"/>
  <c r="P16" i="1"/>
  <c r="P15" i="1"/>
  <c r="P14" i="1"/>
  <c r="P13" i="1"/>
  <c r="P12" i="1"/>
  <c r="P11" i="1"/>
  <c r="P10" i="1"/>
  <c r="N23" i="1" l="1"/>
  <c r="O23" i="1"/>
  <c r="Q23" i="1" s="1"/>
  <c r="O19" i="1"/>
  <c r="Q19" i="1" s="1"/>
  <c r="O17" i="1"/>
  <c r="O13" i="1"/>
  <c r="O22" i="1"/>
  <c r="Q22" i="1" s="1"/>
  <c r="O18" i="1"/>
  <c r="Q18" i="1" s="1"/>
  <c r="O16" i="1"/>
  <c r="Q16" i="1" s="1"/>
  <c r="O14" i="1"/>
  <c r="O8" i="1"/>
  <c r="Q8" i="1" s="1"/>
  <c r="O12" i="1"/>
  <c r="Q12" i="1" s="1"/>
  <c r="O15" i="1"/>
  <c r="Q15" i="1" s="1"/>
  <c r="O11" i="1"/>
  <c r="Q11" i="1" s="1"/>
  <c r="O32" i="1"/>
  <c r="Q32" i="1" s="1"/>
  <c r="O10" i="1"/>
  <c r="Q10" i="1" s="1"/>
  <c r="O21" i="1"/>
  <c r="Q21" i="1" s="1"/>
  <c r="O20" i="1"/>
  <c r="Q20" i="1" s="1"/>
  <c r="O33" i="1"/>
  <c r="Q33" i="1" s="1"/>
  <c r="O31" i="1"/>
  <c r="Q31" i="1" s="1"/>
  <c r="O9" i="1"/>
  <c r="Q9" i="1" s="1"/>
  <c r="Q24" i="1"/>
  <c r="Q30" i="1"/>
  <c r="C19" i="1"/>
  <c r="Q17" i="1"/>
  <c r="Q13" i="1"/>
  <c r="Q29" i="1"/>
  <c r="Q25" i="1"/>
  <c r="Q27" i="1"/>
  <c r="Q14" i="1"/>
  <c r="Q28" i="1"/>
  <c r="Q26" i="1"/>
  <c r="C23" i="1" l="1"/>
  <c r="C35" i="1" l="1"/>
  <c r="C36" i="1"/>
  <c r="C24" i="1"/>
  <c r="C25" i="1" s="1"/>
  <c r="C37" i="1" l="1"/>
</calcChain>
</file>

<file path=xl/sharedStrings.xml><?xml version="1.0" encoding="utf-8"?>
<sst xmlns="http://schemas.openxmlformats.org/spreadsheetml/2006/main" count="82" uniqueCount="65">
  <si>
    <t>Year</t>
  </si>
  <si>
    <t>W</t>
  </si>
  <si>
    <t>LID</t>
  </si>
  <si>
    <t>Lab unc</t>
  </si>
  <si>
    <t>Manuf tol</t>
  </si>
  <si>
    <t>Year of "failure"</t>
  </si>
  <si>
    <t>Degradation in year of failure</t>
  </si>
  <si>
    <t>Cash payout (million)</t>
  </si>
  <si>
    <t>Farm balance sheet value if new (million)</t>
  </si>
  <si>
    <t>Loss balance sheet - payout</t>
  </si>
  <si>
    <t>Nameplate P_STC</t>
  </si>
  <si>
    <t>Degradation warranty</t>
  </si>
  <si>
    <t>What if PV goes even lower?</t>
  </si>
  <si>
    <t>$/W</t>
  </si>
  <si>
    <t>This spreadsheet estimates PV warranty payout and financial exposure for a module manufacturer in case of underperformance versus the guaranteed warranty curve, using assumptions for degradation, lab uncertainty, and manufacturing tolerance.
It also translates the technical underperformance into megawatt (MW) and monetary loss and relates that to module cost evolution over time (historical and projected).</t>
  </si>
  <si>
    <t>Power value under the warranty curve (W/module). This follows the degradation warranty (e.g., -0.5%/yr).</t>
  </si>
  <si>
    <t>P_warranty normalized to nameplate (percentage). Shows how much of the nominal power remains after degradation.</t>
  </si>
  <si>
    <t>Power level that the farm is guaranteed to achieve, considering the same degradation curve.</t>
  </si>
  <si>
    <t>Theoretical power (MW) of the PV farm assuming all modules perform at nominal (nameplate) rating.</t>
  </si>
  <si>
    <t>Power shortfall (%) between the guaranteed power and the nameplate value. This is the basis for warranty payouts if the real power drops below the guarantee.</t>
  </si>
  <si>
    <t>%</t>
  </si>
  <si>
    <t>MW</t>
  </si>
  <si>
    <t>Nominal power of one PV module under standard test conditions.</t>
  </si>
  <si>
    <t>Annual power degradation limit stated in the product warranty. The model applies this each year.</t>
  </si>
  <si>
    <t>Laboratory uncertainty margin, used by manufacturers to buffer warranty claims. Even if measured below guarantee, uncertainty can make it “within spec.”</t>
  </si>
  <si>
    <t>Manufacturing tolerance of the nameplate rating (e.g., ±3%). For worst-case, the model uses -3%, meaning the true power could start 3% below the labeled 400 W.</t>
  </si>
  <si>
    <t xml:space="preserve">Simulation year when the underperformance is evaluated </t>
  </si>
  <si>
    <t>Power drop (in %) expected in that year alone. Derived from the warranty degradation rate.</t>
  </si>
  <si>
    <t>Lookup result from the warranty degradation curve for the given year</t>
  </si>
  <si>
    <t>Additional sudden loss (e.g., event-related power drop or rounding margin).</t>
  </si>
  <si>
    <t>Shock Drop</t>
  </si>
  <si>
    <t>Net degradation including warranty curve + shock loss + other effects. This is the percentage used to compare with actual power.</t>
  </si>
  <si>
    <t>Power shortfall (in MW) at the farm level versus warranty guarantee. Negative means payout owed to customer.</t>
  </si>
  <si>
    <t>Financial cost to manufacturer if warranty claim is honored. Derived from shortfall MW × $/W replacement cost.</t>
  </si>
  <si>
    <t>Reference book value of the plant if it were new (used for financial context).</t>
  </si>
  <si>
    <t>Total difference in value after payout. Represents asset impairment for the manufacturer’s books.</t>
  </si>
  <si>
    <t>Reference cost data per watt from Our World in Data (historical module cost trend).</t>
  </si>
  <si>
    <t>Typical PV module price in 2010, used for cost trend comparison.</t>
  </si>
  <si>
    <t>Modern PV module price (or warranty replacement cost benchmark).</t>
  </si>
  <si>
    <t>Description</t>
  </si>
  <si>
    <t>Purchase cost</t>
  </si>
  <si>
    <t>Corresponding Year</t>
  </si>
  <si>
    <t>Replacement cost in year</t>
  </si>
  <si>
    <t>USER Inputs</t>
  </si>
  <si>
    <t>Variable</t>
  </si>
  <si>
    <t>Value</t>
  </si>
  <si>
    <t>Unit</t>
  </si>
  <si>
    <t>System Size</t>
  </si>
  <si>
    <t>PV system size at installation (nominal, using 400 W per module). Used to scale results from module to system level.</t>
  </si>
  <si>
    <t>RESULTS</t>
  </si>
  <si>
    <t>Calculations / Lookups</t>
  </si>
  <si>
    <t>Descriptions</t>
  </si>
  <si>
    <t>ΔP_Array (Guaranteed - Degraded)</t>
  </si>
  <si>
    <t>P_Array_Degraded</t>
  </si>
  <si>
    <t>P_Array_Guaranteed</t>
  </si>
  <si>
    <t>PV Module Warranty Exposure and Degradation Impact Model</t>
  </si>
  <si>
    <t>Degradation + Schockdrop</t>
  </si>
  <si>
    <t>Capacity Payout in year of failure</t>
  </si>
  <si>
    <t>Light Induced Degradation. One-time initial loss in output after exposure to sunlight. Reduces power in year 0. Typically 1-3%</t>
  </si>
  <si>
    <t>Modeled PV Array Output and Power Delta Relative to Warranty</t>
  </si>
  <si>
    <r>
      <t xml:space="preserve">* Manufacturers </t>
    </r>
    <r>
      <rPr>
        <b/>
        <sz val="14"/>
        <color theme="1"/>
        <rFont val="Aptos Narrow"/>
        <family val="2"/>
        <scheme val="minor"/>
      </rPr>
      <t>pay warranty claims</t>
    </r>
    <r>
      <rPr>
        <sz val="14"/>
        <color theme="1"/>
        <rFont val="Aptos Narrow"/>
        <family val="2"/>
        <scheme val="minor"/>
      </rPr>
      <t xml:space="preserve"> based on </t>
    </r>
    <r>
      <rPr>
        <b/>
        <sz val="14"/>
        <color theme="1"/>
        <rFont val="Aptos Narrow"/>
        <family val="2"/>
        <scheme val="minor"/>
      </rPr>
      <t>the difference between actual measured power and the guaranteed warranty curve</t>
    </r>
    <r>
      <rPr>
        <sz val="14"/>
        <color theme="1"/>
        <rFont val="Aptos Narrow"/>
        <family val="2"/>
        <scheme val="minor"/>
      </rPr>
      <t xml:space="preserve">, </t>
    </r>
    <r>
      <rPr>
        <i/>
        <sz val="14"/>
        <color theme="1"/>
        <rFont val="Aptos Narrow"/>
        <family val="2"/>
        <scheme val="minor"/>
      </rPr>
      <t>not</t>
    </r>
    <r>
      <rPr>
        <sz val="14"/>
        <color theme="1"/>
        <rFont val="Aptos Narrow"/>
        <family val="2"/>
        <scheme val="minor"/>
      </rPr>
      <t xml:space="preserve"> full replacement cost.
* The payout must consider:
          -</t>
    </r>
    <r>
      <rPr>
        <b/>
        <sz val="14"/>
        <color theme="1"/>
        <rFont val="Aptos Narrow"/>
        <family val="2"/>
        <scheme val="minor"/>
      </rPr>
      <t>Lab uncertainty (1.6%)</t>
    </r>
    <r>
      <rPr>
        <sz val="14"/>
        <color theme="1"/>
        <rFont val="Aptos Narrow"/>
        <family val="2"/>
        <scheme val="minor"/>
      </rPr>
      <t xml:space="preserve"> and </t>
    </r>
    <r>
      <rPr>
        <b/>
        <sz val="14"/>
        <color theme="1"/>
        <rFont val="Aptos Narrow"/>
        <family val="2"/>
        <scheme val="minor"/>
      </rPr>
      <t>manufacturing tolerance (-3%)</t>
    </r>
    <r>
      <rPr>
        <sz val="14"/>
        <color theme="1"/>
        <rFont val="Aptos Narrow"/>
        <family val="2"/>
        <scheme val="minor"/>
      </rPr>
      <t xml:space="preserve">, which effectively reduce the initial baseline to around </t>
    </r>
    <r>
      <rPr>
        <b/>
        <sz val="14"/>
        <color theme="1"/>
        <rFont val="Aptos Narrow"/>
        <family val="2"/>
        <scheme val="minor"/>
      </rPr>
      <t>92.9% of Pnominal</t>
    </r>
    <r>
      <rPr>
        <sz val="14"/>
        <color theme="1"/>
        <rFont val="Aptos Narrow"/>
        <family val="2"/>
        <scheme val="minor"/>
      </rPr>
      <t xml:space="preserve">.
          -From there, performance declines per warranty (e.g., -0.5%/yr).
* The model checks </t>
    </r>
    <r>
      <rPr>
        <b/>
        <sz val="14"/>
        <color theme="1"/>
        <rFont val="Aptos Narrow"/>
        <family val="2"/>
        <scheme val="minor"/>
      </rPr>
      <t>what happens at a given system age</t>
    </r>
    <r>
      <rPr>
        <sz val="14"/>
        <color theme="1"/>
        <rFont val="Aptos Narrow"/>
        <family val="2"/>
        <scheme val="minor"/>
      </rPr>
      <t xml:space="preserve"> (e.g., 10 or 15 years) if the power output drops below this curve, and what that implies for:
          -</t>
    </r>
    <r>
      <rPr>
        <b/>
        <sz val="14"/>
        <color theme="1"/>
        <rFont val="Aptos Narrow"/>
        <family val="2"/>
        <scheme val="minor"/>
      </rPr>
      <t>Cash exposure per MW</t>
    </r>
    <r>
      <rPr>
        <sz val="14"/>
        <color theme="1"/>
        <rFont val="Aptos Narrow"/>
        <family val="2"/>
        <scheme val="minor"/>
      </rPr>
      <t xml:space="preserve">
          -</t>
    </r>
    <r>
      <rPr>
        <b/>
        <sz val="14"/>
        <color theme="1"/>
        <rFont val="Aptos Narrow"/>
        <family val="2"/>
        <scheme val="minor"/>
      </rPr>
      <t>Manufacturer’s balance sheet impact</t>
    </r>
    <r>
      <rPr>
        <sz val="14"/>
        <color theme="1"/>
        <rFont val="Aptos Narrow"/>
        <family val="2"/>
        <scheme val="minor"/>
      </rPr>
      <t xml:space="preserve"> if they had to compensate all customers.
* The “What if PV goes even lower?” section shows how</t>
    </r>
    <r>
      <rPr>
        <b/>
        <sz val="14"/>
        <color theme="1"/>
        <rFont val="Aptos Narrow"/>
        <family val="2"/>
        <scheme val="minor"/>
      </rPr>
      <t xml:space="preserve"> declining module prices</t>
    </r>
    <r>
      <rPr>
        <sz val="14"/>
        <color theme="1"/>
        <rFont val="Aptos Narrow"/>
        <family val="2"/>
        <scheme val="minor"/>
      </rPr>
      <t xml:space="preserve"> make warranty payouts </t>
    </r>
    <r>
      <rPr>
        <b/>
        <sz val="14"/>
        <color theme="1"/>
        <rFont val="Aptos Narrow"/>
        <family val="2"/>
        <scheme val="minor"/>
      </rPr>
      <t>cheaper</t>
    </r>
    <r>
      <rPr>
        <sz val="14"/>
        <color theme="1"/>
        <rFont val="Aptos Narrow"/>
        <family val="2"/>
        <scheme val="minor"/>
      </rPr>
      <t xml:space="preserve"> (less financial risk per W), which has historically helped manufacturers “surf down the cost curve.” In the future, if prices flatten, payouts become </t>
    </r>
    <r>
      <rPr>
        <b/>
        <sz val="14"/>
        <color theme="1"/>
        <rFont val="Aptos Narrow"/>
        <family val="2"/>
        <scheme val="minor"/>
      </rPr>
      <t>more painful</t>
    </r>
    <r>
      <rPr>
        <sz val="14"/>
        <color theme="1"/>
        <rFont val="Aptos Narrow"/>
        <family val="2"/>
        <scheme val="minor"/>
      </rPr>
      <t>.</t>
    </r>
  </si>
  <si>
    <t>Percent power loss relative to nameplate, combining light-induced degradation (LID), manufacturing tolerance, and cumulative yearly degradation, adjusted for laboratory measurement uncertainty at a 95% confidence level.</t>
  </si>
  <si>
    <t>Warranty_Remaining_Power_Fraction</t>
  </si>
  <si>
    <t>Warranty_Total_Degradation</t>
  </si>
  <si>
    <t>Warranty_P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</si>
</sst>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0.0"/>
    <numFmt numFmtId="166" formatCode="0.000"/>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sz val="12"/>
      <color theme="1"/>
      <name val="Aptos Narrow"/>
      <family val="2"/>
      <scheme val="minor"/>
    </font>
    <font>
      <sz val="14"/>
      <color theme="1"/>
      <name val="Aptos Narrow"/>
      <family val="2"/>
      <scheme val="minor"/>
    </font>
    <font>
      <b/>
      <sz val="20"/>
      <color theme="1"/>
      <name val="Aptos Narrow"/>
      <family val="2"/>
      <scheme val="minor"/>
    </font>
    <font>
      <b/>
      <sz val="11"/>
      <color theme="5" tint="-0.499984740745262"/>
      <name val="Aptos Narrow"/>
      <family val="2"/>
      <scheme val="minor"/>
    </font>
    <font>
      <b/>
      <sz val="14"/>
      <color theme="1"/>
      <name val="Aptos Narrow"/>
      <family val="2"/>
      <scheme val="minor"/>
    </font>
    <font>
      <i/>
      <sz val="14"/>
      <color theme="1"/>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CC"/>
        <bgColor indexed="64"/>
      </patternFill>
    </fill>
    <fill>
      <patternFill patternType="solid">
        <fgColor theme="8"/>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6"/>
        <bgColor indexed="64"/>
      </patternFill>
    </fill>
    <fill>
      <patternFill patternType="solid">
        <fgColor theme="5" tint="0.39997558519241921"/>
        <bgColor indexed="64"/>
      </patternFill>
    </fill>
    <fill>
      <patternFill patternType="solid">
        <fgColor theme="5" tint="0.59999389629810485"/>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92">
    <xf numFmtId="0" fontId="0" fillId="0" borderId="0" xfId="0"/>
    <xf numFmtId="2" fontId="0" fillId="0" borderId="0" xfId="2" applyNumberFormat="1" applyFont="1"/>
    <xf numFmtId="165" fontId="0" fillId="0" borderId="0" xfId="2" applyNumberFormat="1" applyFont="1"/>
    <xf numFmtId="0" fontId="0" fillId="0" borderId="0" xfId="0" applyAlignment="1">
      <alignment wrapText="1"/>
    </xf>
    <xf numFmtId="0" fontId="0" fillId="0" borderId="0" xfId="0" applyAlignment="1">
      <alignment horizontal="center"/>
    </xf>
    <xf numFmtId="0" fontId="0" fillId="0" borderId="4" xfId="0" applyBorder="1"/>
    <xf numFmtId="0" fontId="0" fillId="0" borderId="6" xfId="0" applyBorder="1"/>
    <xf numFmtId="0" fontId="3" fillId="0" borderId="0" xfId="0" applyFont="1"/>
    <xf numFmtId="0" fontId="0" fillId="0" borderId="1" xfId="0" applyBorder="1"/>
    <xf numFmtId="0" fontId="5" fillId="0" borderId="0" xfId="0" applyFont="1" applyAlignment="1">
      <alignment wrapText="1"/>
    </xf>
    <xf numFmtId="0" fontId="0" fillId="2" borderId="0" xfId="0" applyFill="1"/>
    <xf numFmtId="10" fontId="0" fillId="2" borderId="0" xfId="0" applyNumberFormat="1" applyFill="1"/>
    <xf numFmtId="9" fontId="0" fillId="2" borderId="0" xfId="0" applyNumberFormat="1" applyFill="1"/>
    <xf numFmtId="0" fontId="0" fillId="3" borderId="0" xfId="0" applyFill="1"/>
    <xf numFmtId="0" fontId="0" fillId="3" borderId="7" xfId="0" applyFill="1" applyBorder="1"/>
    <xf numFmtId="0" fontId="0" fillId="2" borderId="7" xfId="0" applyFill="1" applyBorder="1"/>
    <xf numFmtId="0" fontId="0" fillId="2" borderId="2" xfId="0" applyFill="1" applyBorder="1"/>
    <xf numFmtId="0" fontId="0" fillId="3" borderId="4" xfId="0" applyFill="1" applyBorder="1"/>
    <xf numFmtId="0" fontId="0" fillId="3" borderId="6" xfId="0" applyFill="1" applyBorder="1"/>
    <xf numFmtId="0" fontId="0" fillId="6" borderId="0" xfId="0" applyFill="1"/>
    <xf numFmtId="0" fontId="0" fillId="6" borderId="7" xfId="0" applyFill="1" applyBorder="1" applyAlignment="1">
      <alignment vertical="top"/>
    </xf>
    <xf numFmtId="0" fontId="0" fillId="8" borderId="4" xfId="0" applyFill="1" applyBorder="1"/>
    <xf numFmtId="0" fontId="0" fillId="8" borderId="0" xfId="0" applyFill="1"/>
    <xf numFmtId="0" fontId="0" fillId="8" borderId="6" xfId="0" applyFill="1" applyBorder="1"/>
    <xf numFmtId="0" fontId="0" fillId="8" borderId="7" xfId="0" applyFill="1" applyBorder="1"/>
    <xf numFmtId="0" fontId="3" fillId="10" borderId="1" xfId="0" applyFont="1" applyFill="1" applyBorder="1"/>
    <xf numFmtId="0" fontId="3" fillId="10" borderId="2" xfId="0" applyFont="1" applyFill="1" applyBorder="1" applyAlignment="1">
      <alignment horizontal="center" vertical="center"/>
    </xf>
    <xf numFmtId="0" fontId="3" fillId="10" borderId="2" xfId="0" applyFont="1" applyFill="1" applyBorder="1" applyAlignment="1">
      <alignment horizontal="center" vertical="center" wrapText="1"/>
    </xf>
    <xf numFmtId="0" fontId="7" fillId="6" borderId="4" xfId="0" applyFont="1" applyFill="1" applyBorder="1"/>
    <xf numFmtId="164" fontId="7" fillId="6" borderId="0" xfId="1" applyFont="1" applyFill="1" applyBorder="1"/>
    <xf numFmtId="0" fontId="7" fillId="6" borderId="6" xfId="0" applyFont="1" applyFill="1" applyBorder="1"/>
    <xf numFmtId="164" fontId="7" fillId="6" borderId="7" xfId="0" applyNumberFormat="1" applyFont="1" applyFill="1" applyBorder="1"/>
    <xf numFmtId="0" fontId="3" fillId="12" borderId="1" xfId="0" applyFont="1" applyFill="1" applyBorder="1"/>
    <xf numFmtId="0" fontId="0" fillId="12" borderId="2" xfId="0" applyFill="1" applyBorder="1"/>
    <xf numFmtId="0" fontId="0" fillId="12" borderId="3" xfId="0" applyFill="1" applyBorder="1"/>
    <xf numFmtId="0" fontId="0" fillId="2" borderId="4" xfId="0" applyFill="1" applyBorder="1"/>
    <xf numFmtId="0" fontId="0" fillId="2" borderId="5" xfId="0" applyFill="1" applyBorder="1"/>
    <xf numFmtId="0" fontId="0" fillId="2" borderId="8" xfId="0" applyFill="1" applyBorder="1"/>
    <xf numFmtId="0" fontId="0" fillId="13" borderId="0" xfId="0" applyFill="1"/>
    <xf numFmtId="0" fontId="6" fillId="2" borderId="4" xfId="0" applyFont="1" applyFill="1" applyBorder="1"/>
    <xf numFmtId="164" fontId="6" fillId="4" borderId="0" xfId="1" applyFont="1" applyFill="1" applyBorder="1"/>
    <xf numFmtId="0" fontId="6" fillId="2" borderId="6" xfId="0" applyFont="1" applyFill="1" applyBorder="1"/>
    <xf numFmtId="164" fontId="6" fillId="4" borderId="7" xfId="0" applyNumberFormat="1" applyFont="1" applyFill="1" applyBorder="1"/>
    <xf numFmtId="0" fontId="9" fillId="0" borderId="2"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9" fillId="0" borderId="1" xfId="0" applyFont="1" applyBorder="1" applyAlignment="1">
      <alignment horizontal="left" vertical="center"/>
    </xf>
    <xf numFmtId="0" fontId="9" fillId="0" borderId="2" xfId="0" applyFont="1" applyBorder="1" applyAlignment="1">
      <alignment horizontal="left" vertical="center"/>
    </xf>
    <xf numFmtId="0" fontId="0" fillId="0" borderId="0" xfId="0" applyAlignment="1">
      <alignment vertical="center" wrapText="1"/>
    </xf>
    <xf numFmtId="166" fontId="0" fillId="0" borderId="0" xfId="0" applyNumberFormat="1"/>
    <xf numFmtId="0" fontId="3" fillId="0" borderId="0" xfId="0" applyFont="1" applyAlignment="1">
      <alignment horizontal="center" vertical="center"/>
    </xf>
    <xf numFmtId="0" fontId="3" fillId="0" borderId="0" xfId="0" applyFont="1" applyAlignment="1">
      <alignment horizontal="center" vertical="center" wrapText="1"/>
    </xf>
    <xf numFmtId="0" fontId="7" fillId="0" borderId="0" xfId="0" applyFont="1" applyAlignment="1">
      <alignment horizontal="left" vertical="top" wrapText="1"/>
    </xf>
    <xf numFmtId="0" fontId="0" fillId="0" borderId="0" xfId="0" applyAlignment="1">
      <alignment horizontal="left"/>
    </xf>
    <xf numFmtId="0" fontId="0" fillId="0" borderId="5" xfId="0" applyBorder="1" applyAlignment="1">
      <alignment horizontal="left"/>
    </xf>
    <xf numFmtId="0" fontId="0" fillId="3" borderId="0" xfId="0" applyFill="1" applyAlignment="1">
      <alignment horizontal="center"/>
    </xf>
    <xf numFmtId="0" fontId="0" fillId="3" borderId="5"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6" borderId="0" xfId="0" applyFill="1" applyAlignment="1">
      <alignment horizontal="center"/>
    </xf>
    <xf numFmtId="0" fontId="0" fillId="6" borderId="5" xfId="0" applyFill="1" applyBorder="1" applyAlignment="1">
      <alignment horizontal="center"/>
    </xf>
    <xf numFmtId="0" fontId="0" fillId="0" borderId="10" xfId="0" applyBorder="1" applyAlignment="1">
      <alignment horizontal="center"/>
    </xf>
    <xf numFmtId="0" fontId="8" fillId="0" borderId="0" xfId="0" applyFont="1" applyAlignment="1">
      <alignment horizontal="center"/>
    </xf>
    <xf numFmtId="0" fontId="0" fillId="0" borderId="0" xfId="0"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2" fillId="11" borderId="0" xfId="0" applyFont="1" applyFill="1" applyAlignment="1">
      <alignment horizontal="center" vertical="center"/>
    </xf>
    <xf numFmtId="0" fontId="5" fillId="8" borderId="7" xfId="0" applyFont="1" applyFill="1" applyBorder="1" applyAlignment="1">
      <alignment horizontal="left"/>
    </xf>
    <xf numFmtId="0" fontId="5" fillId="8" borderId="8" xfId="0" applyFont="1" applyFill="1" applyBorder="1" applyAlignment="1">
      <alignment horizontal="left"/>
    </xf>
    <xf numFmtId="0" fontId="0" fillId="0" borderId="0" xfId="0" applyAlignment="1">
      <alignment horizont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3" xfId="0" applyFont="1" applyFill="1" applyBorder="1" applyAlignment="1">
      <alignment horizontal="left" vertical="center"/>
    </xf>
    <xf numFmtId="0" fontId="0" fillId="5" borderId="1" xfId="0" applyFill="1" applyBorder="1" applyAlignment="1">
      <alignment horizontal="left" vertical="center"/>
    </xf>
    <xf numFmtId="0" fontId="0" fillId="5" borderId="2" xfId="0" applyFill="1" applyBorder="1" applyAlignment="1">
      <alignment horizontal="left" vertical="center"/>
    </xf>
    <xf numFmtId="0" fontId="0" fillId="5" borderId="3" xfId="0" applyFill="1" applyBorder="1" applyAlignment="1">
      <alignment horizontal="left" vertical="center"/>
    </xf>
    <xf numFmtId="0" fontId="2" fillId="9" borderId="9" xfId="0" applyFont="1" applyFill="1" applyBorder="1" applyAlignment="1">
      <alignment horizontal="left" vertical="center"/>
    </xf>
    <xf numFmtId="0" fontId="2" fillId="9" borderId="10" xfId="0" applyFont="1" applyFill="1" applyBorder="1" applyAlignment="1">
      <alignment horizontal="left" vertical="center"/>
    </xf>
    <xf numFmtId="0" fontId="2" fillId="9" borderId="11" xfId="0" applyFont="1" applyFill="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0" fillId="6" borderId="7" xfId="0" applyFill="1" applyBorder="1" applyAlignment="1">
      <alignment horizontal="center"/>
    </xf>
    <xf numFmtId="0" fontId="0" fillId="6" borderId="8" xfId="0" applyFill="1" applyBorder="1" applyAlignment="1">
      <alignment horizontal="center"/>
    </xf>
    <xf numFmtId="0" fontId="4" fillId="7" borderId="9" xfId="0" applyFont="1" applyFill="1" applyBorder="1" applyAlignment="1">
      <alignment horizontal="center"/>
    </xf>
    <xf numFmtId="0" fontId="4" fillId="7" borderId="10" xfId="0" applyFont="1" applyFill="1" applyBorder="1" applyAlignment="1">
      <alignment horizontal="center"/>
    </xf>
    <xf numFmtId="0" fontId="4" fillId="7" borderId="11" xfId="0" applyFont="1" applyFill="1" applyBorder="1" applyAlignment="1">
      <alignment horizontal="center"/>
    </xf>
    <xf numFmtId="0" fontId="3" fillId="10" borderId="2" xfId="0" applyFont="1" applyFill="1" applyBorder="1" applyAlignment="1">
      <alignment horizontal="left" vertical="center"/>
    </xf>
    <xf numFmtId="0" fontId="3" fillId="10" borderId="3" xfId="0" applyFont="1" applyFill="1" applyBorder="1" applyAlignment="1">
      <alignment horizontal="left" vertical="center"/>
    </xf>
    <xf numFmtId="0" fontId="5" fillId="8" borderId="5" xfId="0" applyFont="1" applyFill="1" applyBorder="1" applyAlignment="1">
      <alignment horizontal="left"/>
    </xf>
    <xf numFmtId="0" fontId="0" fillId="0" borderId="7" xfId="0" applyBorder="1" applyAlignment="1">
      <alignment horizontal="left"/>
    </xf>
    <xf numFmtId="0" fontId="0" fillId="0" borderId="8" xfId="0" applyBorder="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1FE0-4B29-4308-87C3-8CEB684283DF}">
  <dimension ref="B1:Q59"/>
  <sheetViews>
    <sheetView tabSelected="1" topLeftCell="A2" zoomScale="87" zoomScaleNormal="55" workbookViewId="0">
      <selection activeCell="C15" sqref="C15"/>
    </sheetView>
  </sheetViews>
  <sheetFormatPr defaultRowHeight="14.4" x14ac:dyDescent="0.3"/>
  <cols>
    <col min="2" max="2" width="33.21875" customWidth="1"/>
    <col min="3" max="3" width="13.88671875" customWidth="1"/>
    <col min="4" max="4" width="17" bestFit="1" customWidth="1"/>
    <col min="5" max="5" width="8.5546875" customWidth="1"/>
    <col min="6" max="7" width="20" customWidth="1"/>
    <col min="9" max="9" width="28.33203125" bestFit="1" customWidth="1"/>
    <col min="10" max="10" width="18.6640625" customWidth="1"/>
    <col min="11" max="11" width="9.88671875" customWidth="1"/>
    <col min="12" max="13" width="17.109375" customWidth="1"/>
    <col min="14" max="14" width="11.77734375" customWidth="1"/>
    <col min="15" max="17" width="28" customWidth="1"/>
  </cols>
  <sheetData>
    <row r="1" spans="2:17" ht="25.8" x14ac:dyDescent="0.5">
      <c r="B1" s="63" t="s">
        <v>55</v>
      </c>
      <c r="C1" s="63"/>
      <c r="D1" s="63"/>
      <c r="E1" s="63"/>
      <c r="F1" s="63"/>
      <c r="G1" s="63"/>
      <c r="H1" s="63"/>
      <c r="I1" s="63"/>
    </row>
    <row r="2" spans="2:17" ht="65.400000000000006" customHeight="1" x14ac:dyDescent="0.3">
      <c r="B2" s="64" t="s">
        <v>14</v>
      </c>
      <c r="C2" s="64"/>
      <c r="D2" s="64"/>
      <c r="E2" s="64"/>
      <c r="F2" s="64"/>
      <c r="G2" s="64"/>
      <c r="H2" s="64"/>
      <c r="I2" s="64"/>
      <c r="J2" s="3"/>
    </row>
    <row r="3" spans="2:17" ht="15" thickBot="1" x14ac:dyDescent="0.35"/>
    <row r="4" spans="2:17" ht="24" customHeight="1" thickBot="1" x14ac:dyDescent="0.35">
      <c r="B4" s="77" t="s">
        <v>43</v>
      </c>
      <c r="C4" s="78"/>
      <c r="D4" s="78"/>
      <c r="E4" s="78"/>
      <c r="F4" s="78"/>
      <c r="G4" s="78"/>
      <c r="H4" s="78"/>
      <c r="I4" s="79"/>
      <c r="K4" s="67" t="s">
        <v>59</v>
      </c>
      <c r="L4" s="67"/>
      <c r="M4" s="67"/>
      <c r="N4" s="67"/>
      <c r="O4" s="67"/>
      <c r="P4" s="67"/>
      <c r="Q4" s="67"/>
    </row>
    <row r="5" spans="2:17" ht="25.2" customHeight="1" thickBot="1" x14ac:dyDescent="0.35">
      <c r="B5" s="47" t="s">
        <v>44</v>
      </c>
      <c r="C5" s="48" t="s">
        <v>45</v>
      </c>
      <c r="D5" s="43" t="s">
        <v>46</v>
      </c>
      <c r="E5" s="80" t="s">
        <v>39</v>
      </c>
      <c r="F5" s="80"/>
      <c r="G5" s="80"/>
      <c r="H5" s="80"/>
      <c r="I5" s="81"/>
      <c r="K5" s="7" t="s">
        <v>51</v>
      </c>
      <c r="L5" s="9" t="s">
        <v>61</v>
      </c>
      <c r="M5" s="9" t="s">
        <v>16</v>
      </c>
      <c r="N5" s="9" t="s">
        <v>15</v>
      </c>
      <c r="O5" s="9" t="s">
        <v>17</v>
      </c>
      <c r="P5" s="9" t="s">
        <v>18</v>
      </c>
      <c r="Q5" s="9" t="s">
        <v>19</v>
      </c>
    </row>
    <row r="6" spans="2:17" ht="30.6" customHeight="1" x14ac:dyDescent="0.3">
      <c r="B6" s="8" t="s">
        <v>10</v>
      </c>
      <c r="C6" s="16">
        <v>400</v>
      </c>
      <c r="D6" s="44" t="s">
        <v>1</v>
      </c>
      <c r="E6" s="65" t="s">
        <v>22</v>
      </c>
      <c r="F6" s="65"/>
      <c r="G6" s="65"/>
      <c r="H6" s="65"/>
      <c r="I6" s="66"/>
      <c r="K6" s="51" t="s">
        <v>0</v>
      </c>
      <c r="L6" s="52" t="s">
        <v>63</v>
      </c>
      <c r="M6" s="52" t="s">
        <v>62</v>
      </c>
      <c r="N6" s="51" t="s">
        <v>64</v>
      </c>
      <c r="O6" s="51" t="s">
        <v>54</v>
      </c>
      <c r="P6" s="51" t="s">
        <v>53</v>
      </c>
      <c r="Q6" s="51" t="s">
        <v>52</v>
      </c>
    </row>
    <row r="7" spans="2:17" x14ac:dyDescent="0.3">
      <c r="B7" s="5" t="s">
        <v>11</v>
      </c>
      <c r="C7" s="11">
        <v>-5.0000000000000001E-3</v>
      </c>
      <c r="D7" s="45" t="s">
        <v>20</v>
      </c>
      <c r="E7" s="54" t="s">
        <v>23</v>
      </c>
      <c r="F7" s="54"/>
      <c r="G7" s="54"/>
      <c r="H7" s="54"/>
      <c r="I7" s="55"/>
      <c r="L7" s="49"/>
      <c r="M7" s="49"/>
      <c r="N7" s="4" t="s">
        <v>1</v>
      </c>
      <c r="O7" s="4" t="s">
        <v>21</v>
      </c>
      <c r="P7" s="4" t="s">
        <v>21</v>
      </c>
      <c r="Q7" s="4" t="s">
        <v>21</v>
      </c>
    </row>
    <row r="8" spans="2:17" x14ac:dyDescent="0.3">
      <c r="B8" s="5" t="s">
        <v>2</v>
      </c>
      <c r="C8" s="12">
        <v>-0.03</v>
      </c>
      <c r="D8" s="45" t="s">
        <v>20</v>
      </c>
      <c r="E8" s="54" t="s">
        <v>58</v>
      </c>
      <c r="F8" s="54"/>
      <c r="G8" s="54"/>
      <c r="H8" s="54"/>
      <c r="I8" s="55"/>
      <c r="K8">
        <v>0</v>
      </c>
      <c r="L8" s="50">
        <f>1-(1-ABS($C$8))*(1-ABS($C$10))*(1+$K8*$C$7)/(1+1.65/2*$C$9)</f>
        <v>7.1358073430714652E-2</v>
      </c>
      <c r="M8" s="50">
        <f>1-L8</f>
        <v>0.92864192656928535</v>
      </c>
      <c r="N8">
        <f>ROUND($C$6*M8,2)</f>
        <v>371.46</v>
      </c>
      <c r="O8" s="2">
        <f t="shared" ref="O8:O33" si="0">ROUND($C$12*M8,1)</f>
        <v>0.3</v>
      </c>
      <c r="P8" s="2">
        <f t="shared" ref="P8:P33" si="1">ROUND((1-ABS($C$8))*(1+$K8*$C$7)*$C$12,1)</f>
        <v>0.3</v>
      </c>
      <c r="Q8" s="1">
        <f>O8-P8</f>
        <v>0</v>
      </c>
    </row>
    <row r="9" spans="2:17" x14ac:dyDescent="0.3">
      <c r="B9" s="5" t="s">
        <v>3</v>
      </c>
      <c r="C9" s="11">
        <v>1.6E-2</v>
      </c>
      <c r="D9" s="45" t="s">
        <v>20</v>
      </c>
      <c r="E9" s="54" t="s">
        <v>24</v>
      </c>
      <c r="F9" s="54"/>
      <c r="G9" s="54"/>
      <c r="H9" s="54"/>
      <c r="I9" s="55"/>
      <c r="K9">
        <v>1</v>
      </c>
      <c r="L9" s="50">
        <f t="shared" ref="L9:L33" si="2">1-(1-ABS($C$8))*(1-ABS($C$10))*(1+$K9*$C$7)/(1+1.65/2*$C$9)</f>
        <v>7.6001283063561131E-2</v>
      </c>
      <c r="M9" s="50">
        <f t="shared" ref="M9:M33" si="3">1-L9</f>
        <v>0.92399871693643887</v>
      </c>
      <c r="N9">
        <f t="shared" ref="N9:N33" si="4">ROUND($C$6*M9,2)</f>
        <v>369.6</v>
      </c>
      <c r="O9" s="2">
        <f t="shared" si="0"/>
        <v>0.3</v>
      </c>
      <c r="P9" s="2">
        <f t="shared" si="1"/>
        <v>0.3</v>
      </c>
      <c r="Q9" s="1">
        <f t="shared" ref="Q9:Q33" si="5">O9-P9</f>
        <v>0</v>
      </c>
    </row>
    <row r="10" spans="2:17" x14ac:dyDescent="0.3">
      <c r="B10" s="5" t="s">
        <v>4</v>
      </c>
      <c r="C10" s="12">
        <v>0.03</v>
      </c>
      <c r="D10" s="45" t="s">
        <v>20</v>
      </c>
      <c r="E10" s="54" t="s">
        <v>25</v>
      </c>
      <c r="F10" s="54"/>
      <c r="G10" s="54"/>
      <c r="H10" s="54"/>
      <c r="I10" s="55"/>
      <c r="K10">
        <v>2</v>
      </c>
      <c r="L10" s="50">
        <f t="shared" si="2"/>
        <v>8.0644492696407499E-2</v>
      </c>
      <c r="M10" s="50">
        <f t="shared" si="3"/>
        <v>0.9193555073035925</v>
      </c>
      <c r="N10">
        <f t="shared" si="4"/>
        <v>367.74</v>
      </c>
      <c r="O10" s="2">
        <f t="shared" si="0"/>
        <v>0.3</v>
      </c>
      <c r="P10" s="2">
        <f t="shared" si="1"/>
        <v>0.3</v>
      </c>
      <c r="Q10" s="1">
        <f t="shared" si="5"/>
        <v>0</v>
      </c>
    </row>
    <row r="11" spans="2:17" x14ac:dyDescent="0.3">
      <c r="B11" s="5"/>
      <c r="D11" s="45"/>
      <c r="E11" s="54"/>
      <c r="F11" s="54"/>
      <c r="G11" s="54"/>
      <c r="H11" s="54"/>
      <c r="I11" s="55"/>
      <c r="K11">
        <v>3</v>
      </c>
      <c r="L11" s="50">
        <f t="shared" si="2"/>
        <v>8.5287702329253978E-2</v>
      </c>
      <c r="M11" s="50">
        <f t="shared" si="3"/>
        <v>0.91471229767074602</v>
      </c>
      <c r="N11">
        <f t="shared" si="4"/>
        <v>365.88</v>
      </c>
      <c r="O11" s="2">
        <f t="shared" si="0"/>
        <v>0.3</v>
      </c>
      <c r="P11" s="2">
        <f t="shared" si="1"/>
        <v>0.3</v>
      </c>
      <c r="Q11" s="1">
        <f t="shared" si="5"/>
        <v>0</v>
      </c>
    </row>
    <row r="12" spans="2:17" x14ac:dyDescent="0.3">
      <c r="B12" s="5" t="s">
        <v>47</v>
      </c>
      <c r="C12" s="10">
        <v>0.3</v>
      </c>
      <c r="D12" s="45" t="s">
        <v>21</v>
      </c>
      <c r="E12" s="54" t="s">
        <v>48</v>
      </c>
      <c r="F12" s="54"/>
      <c r="G12" s="54"/>
      <c r="H12" s="54"/>
      <c r="I12" s="55"/>
      <c r="K12">
        <v>4</v>
      </c>
      <c r="L12" s="50">
        <f t="shared" si="2"/>
        <v>8.9930911962100457E-2</v>
      </c>
      <c r="M12" s="50">
        <f t="shared" si="3"/>
        <v>0.91006908803789954</v>
      </c>
      <c r="N12">
        <f t="shared" si="4"/>
        <v>364.03</v>
      </c>
      <c r="O12" s="2">
        <f t="shared" si="0"/>
        <v>0.3</v>
      </c>
      <c r="P12" s="2">
        <f t="shared" si="1"/>
        <v>0.3</v>
      </c>
      <c r="Q12" s="1">
        <f t="shared" si="5"/>
        <v>0</v>
      </c>
    </row>
    <row r="13" spans="2:17" x14ac:dyDescent="0.3">
      <c r="B13" s="5" t="s">
        <v>5</v>
      </c>
      <c r="C13" s="10">
        <v>10</v>
      </c>
      <c r="D13" s="45"/>
      <c r="E13" s="54" t="s">
        <v>26</v>
      </c>
      <c r="F13" s="54"/>
      <c r="G13" s="54"/>
      <c r="H13" s="54"/>
      <c r="I13" s="55"/>
      <c r="K13">
        <v>5</v>
      </c>
      <c r="L13" s="50">
        <f t="shared" si="2"/>
        <v>9.4574121594946825E-2</v>
      </c>
      <c r="M13" s="50">
        <f t="shared" si="3"/>
        <v>0.90542587840505317</v>
      </c>
      <c r="N13">
        <f t="shared" si="4"/>
        <v>362.17</v>
      </c>
      <c r="O13" s="2">
        <f t="shared" si="0"/>
        <v>0.3</v>
      </c>
      <c r="P13" s="2">
        <f t="shared" si="1"/>
        <v>0.3</v>
      </c>
      <c r="Q13" s="1">
        <f t="shared" si="5"/>
        <v>0</v>
      </c>
    </row>
    <row r="14" spans="2:17" x14ac:dyDescent="0.3">
      <c r="B14" s="5" t="s">
        <v>6</v>
      </c>
      <c r="C14" s="10">
        <v>0.8</v>
      </c>
      <c r="D14" s="45"/>
      <c r="E14" s="54" t="s">
        <v>27</v>
      </c>
      <c r="F14" s="54"/>
      <c r="G14" s="54"/>
      <c r="H14" s="54"/>
      <c r="I14" s="55"/>
      <c r="K14">
        <v>6</v>
      </c>
      <c r="L14" s="50">
        <f t="shared" si="2"/>
        <v>9.9217331227793304E-2</v>
      </c>
      <c r="M14" s="50">
        <f t="shared" si="3"/>
        <v>0.9007826687722067</v>
      </c>
      <c r="N14">
        <f t="shared" si="4"/>
        <v>360.31</v>
      </c>
      <c r="O14" s="2">
        <f t="shared" si="0"/>
        <v>0.3</v>
      </c>
      <c r="P14" s="2">
        <f t="shared" si="1"/>
        <v>0.3</v>
      </c>
      <c r="Q14" s="1">
        <f t="shared" si="5"/>
        <v>0</v>
      </c>
    </row>
    <row r="15" spans="2:17" ht="15" thickBot="1" x14ac:dyDescent="0.35">
      <c r="B15" s="6" t="s">
        <v>30</v>
      </c>
      <c r="C15" s="15">
        <v>0.05</v>
      </c>
      <c r="D15" s="46"/>
      <c r="E15" s="90" t="s">
        <v>29</v>
      </c>
      <c r="F15" s="90"/>
      <c r="G15" s="90"/>
      <c r="H15" s="90"/>
      <c r="I15" s="91"/>
      <c r="K15">
        <v>7</v>
      </c>
      <c r="L15" s="50">
        <f t="shared" si="2"/>
        <v>0.10386054086063967</v>
      </c>
      <c r="M15" s="50">
        <f t="shared" si="3"/>
        <v>0.89613945913936033</v>
      </c>
      <c r="N15">
        <f t="shared" si="4"/>
        <v>358.46</v>
      </c>
      <c r="O15" s="2">
        <f t="shared" si="0"/>
        <v>0.3</v>
      </c>
      <c r="P15" s="2">
        <f t="shared" si="1"/>
        <v>0.3</v>
      </c>
      <c r="Q15" s="1">
        <f t="shared" si="5"/>
        <v>0</v>
      </c>
    </row>
    <row r="16" spans="2:17" ht="15" thickBot="1" x14ac:dyDescent="0.35">
      <c r="E16" s="62"/>
      <c r="F16" s="62"/>
      <c r="G16" s="62"/>
      <c r="H16" s="62"/>
      <c r="I16" s="62"/>
      <c r="K16">
        <v>8</v>
      </c>
      <c r="L16" s="50">
        <f t="shared" si="2"/>
        <v>0.10850375049348615</v>
      </c>
      <c r="M16" s="50">
        <f t="shared" si="3"/>
        <v>0.89149624950651385</v>
      </c>
      <c r="N16">
        <f t="shared" si="4"/>
        <v>356.6</v>
      </c>
      <c r="O16" s="2">
        <f t="shared" si="0"/>
        <v>0.3</v>
      </c>
      <c r="P16" s="2">
        <f t="shared" si="1"/>
        <v>0.3</v>
      </c>
      <c r="Q16" s="1">
        <f t="shared" si="5"/>
        <v>0</v>
      </c>
    </row>
    <row r="17" spans="2:17" x14ac:dyDescent="0.3">
      <c r="B17" s="71" t="s">
        <v>50</v>
      </c>
      <c r="C17" s="72"/>
      <c r="D17" s="72"/>
      <c r="E17" s="72"/>
      <c r="F17" s="72"/>
      <c r="G17" s="72"/>
      <c r="H17" s="72"/>
      <c r="I17" s="73"/>
      <c r="K17">
        <v>9</v>
      </c>
      <c r="L17" s="50">
        <f t="shared" si="2"/>
        <v>0.11314696012633252</v>
      </c>
      <c r="M17" s="50">
        <f t="shared" si="3"/>
        <v>0.88685303987366748</v>
      </c>
      <c r="N17">
        <f t="shared" si="4"/>
        <v>354.74</v>
      </c>
      <c r="O17" s="2">
        <f t="shared" si="0"/>
        <v>0.3</v>
      </c>
      <c r="P17" s="2">
        <f t="shared" si="1"/>
        <v>0.3</v>
      </c>
      <c r="Q17" s="1">
        <f t="shared" si="5"/>
        <v>0</v>
      </c>
    </row>
    <row r="18" spans="2:17" x14ac:dyDescent="0.3">
      <c r="B18" s="17" t="s">
        <v>6</v>
      </c>
      <c r="C18" s="13">
        <f>VLOOKUP($C$13, $K$8:$Q$33, MATCH("Warranty_Remaining_Power_Fraction", $K$6:$Q$6, 0), FALSE)</f>
        <v>0.882209830240821</v>
      </c>
      <c r="D18" s="13"/>
      <c r="E18" s="56" t="s">
        <v>28</v>
      </c>
      <c r="F18" s="56"/>
      <c r="G18" s="56"/>
      <c r="H18" s="56"/>
      <c r="I18" s="57"/>
      <c r="K18">
        <v>10</v>
      </c>
      <c r="L18" s="50">
        <f t="shared" si="2"/>
        <v>0.117790169759179</v>
      </c>
      <c r="M18" s="50">
        <f t="shared" si="3"/>
        <v>0.882209830240821</v>
      </c>
      <c r="N18">
        <f t="shared" si="4"/>
        <v>352.88</v>
      </c>
      <c r="O18" s="2">
        <f t="shared" si="0"/>
        <v>0.3</v>
      </c>
      <c r="P18" s="2">
        <f t="shared" si="1"/>
        <v>0.3</v>
      </c>
      <c r="Q18" s="1">
        <f t="shared" si="5"/>
        <v>0</v>
      </c>
    </row>
    <row r="19" spans="2:17" ht="15" thickBot="1" x14ac:dyDescent="0.35">
      <c r="B19" s="18" t="s">
        <v>56</v>
      </c>
      <c r="C19" s="14">
        <f>C18-C15</f>
        <v>0.83220983024082096</v>
      </c>
      <c r="D19" s="14"/>
      <c r="E19" s="58" t="s">
        <v>31</v>
      </c>
      <c r="F19" s="58"/>
      <c r="G19" s="58"/>
      <c r="H19" s="58"/>
      <c r="I19" s="59"/>
      <c r="K19">
        <v>11</v>
      </c>
      <c r="L19" s="50">
        <f t="shared" si="2"/>
        <v>0.12243337939202537</v>
      </c>
      <c r="M19" s="50">
        <f t="shared" si="3"/>
        <v>0.87756662060797463</v>
      </c>
      <c r="N19">
        <f t="shared" si="4"/>
        <v>351.03</v>
      </c>
      <c r="O19" s="2">
        <f t="shared" si="0"/>
        <v>0.3</v>
      </c>
      <c r="P19" s="2">
        <f t="shared" si="1"/>
        <v>0.3</v>
      </c>
      <c r="Q19" s="1">
        <f t="shared" si="5"/>
        <v>0</v>
      </c>
    </row>
    <row r="20" spans="2:17" ht="15" thickBot="1" x14ac:dyDescent="0.35">
      <c r="E20" s="70"/>
      <c r="F20" s="70"/>
      <c r="G20" s="70"/>
      <c r="H20" s="70"/>
      <c r="I20" s="70"/>
      <c r="K20">
        <v>12</v>
      </c>
      <c r="L20" s="50">
        <f t="shared" si="2"/>
        <v>0.12707658902487184</v>
      </c>
      <c r="M20" s="50">
        <f t="shared" si="3"/>
        <v>0.87292341097512816</v>
      </c>
      <c r="N20">
        <f t="shared" si="4"/>
        <v>349.17</v>
      </c>
      <c r="O20" s="2">
        <f t="shared" si="0"/>
        <v>0.3</v>
      </c>
      <c r="P20" s="2">
        <f t="shared" si="1"/>
        <v>0.3</v>
      </c>
      <c r="Q20" s="1">
        <f t="shared" si="5"/>
        <v>0</v>
      </c>
    </row>
    <row r="21" spans="2:17" x14ac:dyDescent="0.3">
      <c r="B21" s="74" t="s">
        <v>49</v>
      </c>
      <c r="C21" s="75"/>
      <c r="D21" s="75"/>
      <c r="E21" s="75"/>
      <c r="F21" s="75"/>
      <c r="G21" s="75"/>
      <c r="H21" s="75"/>
      <c r="I21" s="76"/>
      <c r="K21">
        <v>13</v>
      </c>
      <c r="L21" s="50">
        <f t="shared" si="2"/>
        <v>0.1317197986577181</v>
      </c>
      <c r="M21" s="50">
        <f t="shared" si="3"/>
        <v>0.8682802013422819</v>
      </c>
      <c r="N21">
        <f t="shared" si="4"/>
        <v>347.31</v>
      </c>
      <c r="O21" s="2">
        <f t="shared" si="0"/>
        <v>0.3</v>
      </c>
      <c r="P21" s="2">
        <f t="shared" si="1"/>
        <v>0.3</v>
      </c>
      <c r="Q21" s="1">
        <f t="shared" si="5"/>
        <v>0</v>
      </c>
    </row>
    <row r="22" spans="2:17" ht="18" x14ac:dyDescent="0.35">
      <c r="B22" s="28" t="s">
        <v>57</v>
      </c>
      <c r="C22" s="28">
        <f>(C14-C18)*C12</f>
        <v>-2.4662949072246285E-2</v>
      </c>
      <c r="D22" s="19" t="s">
        <v>21</v>
      </c>
      <c r="E22" s="60" t="s">
        <v>32</v>
      </c>
      <c r="F22" s="60"/>
      <c r="G22" s="60"/>
      <c r="H22" s="60"/>
      <c r="I22" s="61"/>
      <c r="K22">
        <v>14</v>
      </c>
      <c r="L22" s="50">
        <f t="shared" si="2"/>
        <v>0.13636300829056469</v>
      </c>
      <c r="M22" s="50">
        <f t="shared" si="3"/>
        <v>0.86363699170943531</v>
      </c>
      <c r="N22">
        <f t="shared" si="4"/>
        <v>345.45</v>
      </c>
      <c r="O22" s="2">
        <f t="shared" si="0"/>
        <v>0.3</v>
      </c>
      <c r="P22" s="2">
        <f t="shared" si="1"/>
        <v>0.3</v>
      </c>
      <c r="Q22" s="1">
        <f t="shared" si="5"/>
        <v>0</v>
      </c>
    </row>
    <row r="23" spans="2:17" ht="18" x14ac:dyDescent="0.35">
      <c r="B23" s="28" t="s">
        <v>7</v>
      </c>
      <c r="C23" s="29">
        <f>C22*C30</f>
        <v>-8.8786616660086626E-3</v>
      </c>
      <c r="D23" s="19"/>
      <c r="E23" s="60" t="s">
        <v>33</v>
      </c>
      <c r="F23" s="60"/>
      <c r="G23" s="60"/>
      <c r="H23" s="60"/>
      <c r="I23" s="61"/>
      <c r="K23">
        <v>15</v>
      </c>
      <c r="L23" s="50">
        <f t="shared" si="2"/>
        <v>0.14100621792341106</v>
      </c>
      <c r="M23" s="50">
        <f t="shared" si="3"/>
        <v>0.85899378207658894</v>
      </c>
      <c r="N23">
        <f t="shared" si="4"/>
        <v>343.6</v>
      </c>
      <c r="O23" s="2">
        <f t="shared" si="0"/>
        <v>0.3</v>
      </c>
      <c r="P23" s="2">
        <f t="shared" si="1"/>
        <v>0.3</v>
      </c>
      <c r="Q23" s="1">
        <f t="shared" si="5"/>
        <v>0</v>
      </c>
    </row>
    <row r="24" spans="2:17" ht="18" x14ac:dyDescent="0.35">
      <c r="B24" s="28" t="s">
        <v>8</v>
      </c>
      <c r="C24" s="29">
        <f>C22*C29</f>
        <v>-6.1657372680615712E-2</v>
      </c>
      <c r="D24" s="19"/>
      <c r="E24" s="60" t="s">
        <v>34</v>
      </c>
      <c r="F24" s="60"/>
      <c r="G24" s="60"/>
      <c r="H24" s="60"/>
      <c r="I24" s="61"/>
      <c r="K24">
        <v>16</v>
      </c>
      <c r="L24" s="50">
        <f t="shared" si="2"/>
        <v>0.14564942755625754</v>
      </c>
      <c r="M24" s="50">
        <f t="shared" si="3"/>
        <v>0.85435057244374246</v>
      </c>
      <c r="N24">
        <f t="shared" si="4"/>
        <v>341.74</v>
      </c>
      <c r="O24" s="2">
        <f t="shared" si="0"/>
        <v>0.3</v>
      </c>
      <c r="P24" s="2">
        <f t="shared" si="1"/>
        <v>0.3</v>
      </c>
      <c r="Q24" s="1">
        <f t="shared" si="5"/>
        <v>0</v>
      </c>
    </row>
    <row r="25" spans="2:17" ht="18.600000000000001" thickBot="1" x14ac:dyDescent="0.4">
      <c r="B25" s="30" t="s">
        <v>9</v>
      </c>
      <c r="C25" s="31">
        <f>C24-C23</f>
        <v>-5.2778711014607051E-2</v>
      </c>
      <c r="D25" s="20"/>
      <c r="E25" s="82" t="s">
        <v>35</v>
      </c>
      <c r="F25" s="82"/>
      <c r="G25" s="82"/>
      <c r="H25" s="82"/>
      <c r="I25" s="83"/>
      <c r="K25">
        <v>17</v>
      </c>
      <c r="L25" s="50">
        <f t="shared" si="2"/>
        <v>0.15029263718910391</v>
      </c>
      <c r="M25" s="50">
        <f t="shared" si="3"/>
        <v>0.84970736281089609</v>
      </c>
      <c r="N25">
        <f t="shared" si="4"/>
        <v>339.88</v>
      </c>
      <c r="O25" s="2">
        <f t="shared" si="0"/>
        <v>0.3</v>
      </c>
      <c r="P25" s="2">
        <f t="shared" si="1"/>
        <v>0.3</v>
      </c>
      <c r="Q25" s="1">
        <f t="shared" si="5"/>
        <v>0</v>
      </c>
    </row>
    <row r="26" spans="2:17" ht="15" thickBot="1" x14ac:dyDescent="0.35">
      <c r="E26" s="62"/>
      <c r="F26" s="62"/>
      <c r="G26" s="62"/>
      <c r="H26" s="62"/>
      <c r="I26" s="62"/>
      <c r="K26">
        <v>18</v>
      </c>
      <c r="L26" s="50">
        <f t="shared" si="2"/>
        <v>0.15493584682195038</v>
      </c>
      <c r="M26" s="50">
        <f t="shared" si="3"/>
        <v>0.84506415317804962</v>
      </c>
      <c r="N26">
        <f t="shared" si="4"/>
        <v>338.03</v>
      </c>
      <c r="O26" s="2">
        <f t="shared" si="0"/>
        <v>0.3</v>
      </c>
      <c r="P26" s="2">
        <f t="shared" si="1"/>
        <v>0.3</v>
      </c>
      <c r="Q26" s="1">
        <f t="shared" si="5"/>
        <v>0</v>
      </c>
    </row>
    <row r="27" spans="2:17" ht="15" thickBot="1" x14ac:dyDescent="0.35">
      <c r="B27" s="84" t="s">
        <v>36</v>
      </c>
      <c r="C27" s="85"/>
      <c r="D27" s="85"/>
      <c r="E27" s="85"/>
      <c r="F27" s="85"/>
      <c r="G27" s="85"/>
      <c r="H27" s="85"/>
      <c r="I27" s="86"/>
      <c r="K27">
        <v>19</v>
      </c>
      <c r="L27" s="50">
        <f t="shared" si="2"/>
        <v>0.15957905645479686</v>
      </c>
      <c r="M27" s="50">
        <f t="shared" si="3"/>
        <v>0.84042094354520314</v>
      </c>
      <c r="N27">
        <f t="shared" si="4"/>
        <v>336.17</v>
      </c>
      <c r="O27" s="2">
        <f t="shared" si="0"/>
        <v>0.3</v>
      </c>
      <c r="P27" s="2">
        <f t="shared" si="1"/>
        <v>0.3</v>
      </c>
      <c r="Q27" s="1">
        <f t="shared" si="5"/>
        <v>0</v>
      </c>
    </row>
    <row r="28" spans="2:17" ht="28.8" x14ac:dyDescent="0.3">
      <c r="B28" s="25"/>
      <c r="C28" s="26" t="s">
        <v>13</v>
      </c>
      <c r="D28" s="27" t="s">
        <v>41</v>
      </c>
      <c r="E28" s="87" t="s">
        <v>39</v>
      </c>
      <c r="F28" s="87"/>
      <c r="G28" s="87"/>
      <c r="H28" s="87"/>
      <c r="I28" s="88"/>
      <c r="K28">
        <v>20</v>
      </c>
      <c r="L28" s="50">
        <f t="shared" si="2"/>
        <v>0.16422226608764323</v>
      </c>
      <c r="M28" s="50">
        <f t="shared" si="3"/>
        <v>0.83577773391235677</v>
      </c>
      <c r="N28">
        <f t="shared" si="4"/>
        <v>334.31</v>
      </c>
      <c r="O28" s="2">
        <f t="shared" si="0"/>
        <v>0.3</v>
      </c>
      <c r="P28" s="2">
        <f t="shared" si="1"/>
        <v>0.3</v>
      </c>
      <c r="Q28" s="1">
        <f t="shared" si="5"/>
        <v>0</v>
      </c>
    </row>
    <row r="29" spans="2:17" x14ac:dyDescent="0.3">
      <c r="B29" s="21" t="s">
        <v>40</v>
      </c>
      <c r="C29" s="22">
        <v>2.5</v>
      </c>
      <c r="D29" s="22">
        <v>2010</v>
      </c>
      <c r="E29" s="89" t="s">
        <v>37</v>
      </c>
      <c r="F29" s="89"/>
      <c r="G29" s="89"/>
      <c r="H29" s="89"/>
      <c r="I29" s="89"/>
      <c r="K29">
        <v>21</v>
      </c>
      <c r="L29" s="50">
        <f t="shared" si="2"/>
        <v>0.16886547572048971</v>
      </c>
      <c r="M29" s="50">
        <f t="shared" si="3"/>
        <v>0.83113452427951029</v>
      </c>
      <c r="N29">
        <f t="shared" si="4"/>
        <v>332.45</v>
      </c>
      <c r="O29" s="2">
        <f t="shared" si="0"/>
        <v>0.2</v>
      </c>
      <c r="P29" s="2">
        <f t="shared" si="1"/>
        <v>0.3</v>
      </c>
      <c r="Q29" s="1">
        <f t="shared" si="5"/>
        <v>-9.9999999999999978E-2</v>
      </c>
    </row>
    <row r="30" spans="2:17" ht="15" thickBot="1" x14ac:dyDescent="0.35">
      <c r="B30" s="23" t="s">
        <v>42</v>
      </c>
      <c r="C30" s="24">
        <v>0.36</v>
      </c>
      <c r="D30" s="24">
        <v>2020</v>
      </c>
      <c r="E30" s="68" t="s">
        <v>38</v>
      </c>
      <c r="F30" s="68"/>
      <c r="G30" s="68"/>
      <c r="H30" s="68"/>
      <c r="I30" s="69"/>
      <c r="K30">
        <v>22</v>
      </c>
      <c r="L30" s="50">
        <f t="shared" si="2"/>
        <v>0.17350868535333608</v>
      </c>
      <c r="M30" s="50">
        <f t="shared" si="3"/>
        <v>0.82649131464666392</v>
      </c>
      <c r="N30">
        <f t="shared" si="4"/>
        <v>330.6</v>
      </c>
      <c r="O30" s="2">
        <f t="shared" si="0"/>
        <v>0.2</v>
      </c>
      <c r="P30" s="2">
        <f t="shared" si="1"/>
        <v>0.3</v>
      </c>
      <c r="Q30" s="1">
        <f t="shared" si="5"/>
        <v>-9.9999999999999978E-2</v>
      </c>
    </row>
    <row r="31" spans="2:17" ht="15" thickBot="1" x14ac:dyDescent="0.35">
      <c r="K31">
        <v>23</v>
      </c>
      <c r="L31" s="50">
        <f t="shared" si="2"/>
        <v>0.17815189498618256</v>
      </c>
      <c r="M31" s="50">
        <f t="shared" si="3"/>
        <v>0.82184810501381744</v>
      </c>
      <c r="N31">
        <f t="shared" si="4"/>
        <v>328.74</v>
      </c>
      <c r="O31" s="2">
        <f t="shared" si="0"/>
        <v>0.2</v>
      </c>
      <c r="P31" s="2">
        <f t="shared" si="1"/>
        <v>0.3</v>
      </c>
      <c r="Q31" s="1">
        <f t="shared" si="5"/>
        <v>-9.9999999999999978E-2</v>
      </c>
    </row>
    <row r="32" spans="2:17" x14ac:dyDescent="0.3">
      <c r="B32" s="32" t="s">
        <v>12</v>
      </c>
      <c r="C32" s="33"/>
      <c r="D32" s="34"/>
      <c r="K32">
        <v>24</v>
      </c>
      <c r="L32" s="50">
        <f t="shared" si="2"/>
        <v>0.18279510461902893</v>
      </c>
      <c r="M32" s="50">
        <f t="shared" si="3"/>
        <v>0.81720489538097107</v>
      </c>
      <c r="N32">
        <f t="shared" si="4"/>
        <v>326.88</v>
      </c>
      <c r="O32" s="2">
        <f t="shared" si="0"/>
        <v>0.2</v>
      </c>
      <c r="P32" s="2">
        <f t="shared" si="1"/>
        <v>0.3</v>
      </c>
      <c r="Q32" s="1">
        <f t="shared" si="5"/>
        <v>-9.9999999999999978E-2</v>
      </c>
    </row>
    <row r="33" spans="2:17" x14ac:dyDescent="0.3">
      <c r="B33" s="35" t="s">
        <v>40</v>
      </c>
      <c r="C33" s="38">
        <v>0.1</v>
      </c>
      <c r="D33" s="36" t="s">
        <v>13</v>
      </c>
      <c r="K33">
        <v>25</v>
      </c>
      <c r="L33" s="50">
        <f t="shared" si="2"/>
        <v>0.1874383142518754</v>
      </c>
      <c r="M33" s="50">
        <f t="shared" si="3"/>
        <v>0.8125616857481246</v>
      </c>
      <c r="N33">
        <f t="shared" si="4"/>
        <v>325.02</v>
      </c>
      <c r="O33" s="2">
        <f t="shared" si="0"/>
        <v>0.2</v>
      </c>
      <c r="P33" s="2">
        <f t="shared" si="1"/>
        <v>0.3</v>
      </c>
      <c r="Q33" s="1">
        <f t="shared" si="5"/>
        <v>-9.9999999999999978E-2</v>
      </c>
    </row>
    <row r="34" spans="2:17" x14ac:dyDescent="0.3">
      <c r="B34" s="35" t="s">
        <v>42</v>
      </c>
      <c r="C34" s="38">
        <v>0.01</v>
      </c>
      <c r="D34" s="36" t="s">
        <v>13</v>
      </c>
    </row>
    <row r="35" spans="2:17" ht="15.6" x14ac:dyDescent="0.3">
      <c r="B35" s="39" t="s">
        <v>7</v>
      </c>
      <c r="C35" s="40">
        <f>C22*C34</f>
        <v>-2.4662949072246288E-4</v>
      </c>
      <c r="D35" s="36"/>
    </row>
    <row r="36" spans="2:17" ht="15.6" x14ac:dyDescent="0.3">
      <c r="B36" s="39" t="s">
        <v>8</v>
      </c>
      <c r="C36" s="40">
        <f>C22*C33</f>
        <v>-2.4662949072246287E-3</v>
      </c>
      <c r="D36" s="36"/>
    </row>
    <row r="37" spans="2:17" ht="16.2" thickBot="1" x14ac:dyDescent="0.35">
      <c r="B37" s="41" t="s">
        <v>9</v>
      </c>
      <c r="C37" s="42">
        <f>C36-C35</f>
        <v>-2.2196654165021657E-3</v>
      </c>
      <c r="D37" s="37"/>
    </row>
    <row r="42" spans="2:17" ht="14.4" customHeight="1" x14ac:dyDescent="0.3"/>
    <row r="43" spans="2:17" x14ac:dyDescent="0.3">
      <c r="B43" s="53" t="s">
        <v>60</v>
      </c>
      <c r="C43" s="53"/>
      <c r="D43" s="53"/>
      <c r="E43" s="53"/>
      <c r="F43" s="53"/>
      <c r="G43" s="53"/>
      <c r="H43" s="53"/>
      <c r="I43" s="53"/>
    </row>
    <row r="44" spans="2:17" x14ac:dyDescent="0.3">
      <c r="B44" s="53"/>
      <c r="C44" s="53"/>
      <c r="D44" s="53"/>
      <c r="E44" s="53"/>
      <c r="F44" s="53"/>
      <c r="G44" s="53"/>
      <c r="H44" s="53"/>
      <c r="I44" s="53"/>
    </row>
    <row r="45" spans="2:17" x14ac:dyDescent="0.3">
      <c r="B45" s="53"/>
      <c r="C45" s="53"/>
      <c r="D45" s="53"/>
      <c r="E45" s="53"/>
      <c r="F45" s="53"/>
      <c r="G45" s="53"/>
      <c r="H45" s="53"/>
      <c r="I45" s="53"/>
    </row>
    <row r="46" spans="2:17" x14ac:dyDescent="0.3">
      <c r="B46" s="53"/>
      <c r="C46" s="53"/>
      <c r="D46" s="53"/>
      <c r="E46" s="53"/>
      <c r="F46" s="53"/>
      <c r="G46" s="53"/>
      <c r="H46" s="53"/>
      <c r="I46" s="53"/>
    </row>
    <row r="47" spans="2:17" x14ac:dyDescent="0.3">
      <c r="B47" s="53"/>
      <c r="C47" s="53"/>
      <c r="D47" s="53"/>
      <c r="E47" s="53"/>
      <c r="F47" s="53"/>
      <c r="G47" s="53"/>
      <c r="H47" s="53"/>
      <c r="I47" s="53"/>
    </row>
    <row r="48" spans="2:17" x14ac:dyDescent="0.3">
      <c r="B48" s="53"/>
      <c r="C48" s="53"/>
      <c r="D48" s="53"/>
      <c r="E48" s="53"/>
      <c r="F48" s="53"/>
      <c r="G48" s="53"/>
      <c r="H48" s="53"/>
      <c r="I48" s="53"/>
    </row>
    <row r="49" spans="2:9" x14ac:dyDescent="0.3">
      <c r="B49" s="53"/>
      <c r="C49" s="53"/>
      <c r="D49" s="53"/>
      <c r="E49" s="53"/>
      <c r="F49" s="53"/>
      <c r="G49" s="53"/>
      <c r="H49" s="53"/>
      <c r="I49" s="53"/>
    </row>
    <row r="50" spans="2:9" x14ac:dyDescent="0.3">
      <c r="B50" s="53"/>
      <c r="C50" s="53"/>
      <c r="D50" s="53"/>
      <c r="E50" s="53"/>
      <c r="F50" s="53"/>
      <c r="G50" s="53"/>
      <c r="H50" s="53"/>
      <c r="I50" s="53"/>
    </row>
    <row r="51" spans="2:9" x14ac:dyDescent="0.3">
      <c r="B51" s="53"/>
      <c r="C51" s="53"/>
      <c r="D51" s="53"/>
      <c r="E51" s="53"/>
      <c r="F51" s="53"/>
      <c r="G51" s="53"/>
      <c r="H51" s="53"/>
      <c r="I51" s="53"/>
    </row>
    <row r="52" spans="2:9" x14ac:dyDescent="0.3">
      <c r="B52" s="53"/>
      <c r="C52" s="53"/>
      <c r="D52" s="53"/>
      <c r="E52" s="53"/>
      <c r="F52" s="53"/>
      <c r="G52" s="53"/>
      <c r="H52" s="53"/>
      <c r="I52" s="53"/>
    </row>
    <row r="53" spans="2:9" x14ac:dyDescent="0.3">
      <c r="B53" s="53"/>
      <c r="C53" s="53"/>
      <c r="D53" s="53"/>
      <c r="E53" s="53"/>
      <c r="F53" s="53"/>
      <c r="G53" s="53"/>
      <c r="H53" s="53"/>
      <c r="I53" s="53"/>
    </row>
    <row r="54" spans="2:9" x14ac:dyDescent="0.3">
      <c r="B54" s="53"/>
      <c r="C54" s="53"/>
      <c r="D54" s="53"/>
      <c r="E54" s="53"/>
      <c r="F54" s="53"/>
      <c r="G54" s="53"/>
      <c r="H54" s="53"/>
      <c r="I54" s="53"/>
    </row>
    <row r="55" spans="2:9" x14ac:dyDescent="0.3">
      <c r="B55" s="53"/>
      <c r="C55" s="53"/>
      <c r="D55" s="53"/>
      <c r="E55" s="53"/>
      <c r="F55" s="53"/>
      <c r="G55" s="53"/>
      <c r="H55" s="53"/>
      <c r="I55" s="53"/>
    </row>
    <row r="56" spans="2:9" x14ac:dyDescent="0.3">
      <c r="B56" s="53"/>
      <c r="C56" s="53"/>
      <c r="D56" s="53"/>
      <c r="E56" s="53"/>
      <c r="F56" s="53"/>
      <c r="G56" s="53"/>
      <c r="H56" s="53"/>
      <c r="I56" s="53"/>
    </row>
    <row r="57" spans="2:9" x14ac:dyDescent="0.3">
      <c r="B57" s="53"/>
      <c r="C57" s="53"/>
      <c r="D57" s="53"/>
      <c r="E57" s="53"/>
      <c r="F57" s="53"/>
      <c r="G57" s="53"/>
      <c r="H57" s="53"/>
      <c r="I57" s="53"/>
    </row>
    <row r="58" spans="2:9" x14ac:dyDescent="0.3">
      <c r="B58" s="53"/>
      <c r="C58" s="53"/>
      <c r="D58" s="53"/>
      <c r="E58" s="53"/>
      <c r="F58" s="53"/>
      <c r="G58" s="53"/>
      <c r="H58" s="53"/>
      <c r="I58" s="53"/>
    </row>
    <row r="59" spans="2:9" x14ac:dyDescent="0.3">
      <c r="B59" s="53"/>
      <c r="C59" s="53"/>
      <c r="D59" s="53"/>
      <c r="E59" s="53"/>
      <c r="F59" s="53"/>
      <c r="G59" s="53"/>
      <c r="H59" s="53"/>
      <c r="I59" s="53"/>
    </row>
  </sheetData>
  <mergeCells count="31">
    <mergeCell ref="E9:I9"/>
    <mergeCell ref="K4:Q4"/>
    <mergeCell ref="E22:I22"/>
    <mergeCell ref="E30:I30"/>
    <mergeCell ref="E26:I26"/>
    <mergeCell ref="E20:I20"/>
    <mergeCell ref="B17:I17"/>
    <mergeCell ref="B21:I21"/>
    <mergeCell ref="B4:I4"/>
    <mergeCell ref="E5:I5"/>
    <mergeCell ref="E11:I11"/>
    <mergeCell ref="E24:I24"/>
    <mergeCell ref="E25:I25"/>
    <mergeCell ref="B27:I27"/>
    <mergeCell ref="E28:I28"/>
    <mergeCell ref="E29:I29"/>
    <mergeCell ref="B1:I1"/>
    <mergeCell ref="B2:I2"/>
    <mergeCell ref="E6:I6"/>
    <mergeCell ref="E7:I7"/>
    <mergeCell ref="E8:I8"/>
    <mergeCell ref="B43:I59"/>
    <mergeCell ref="E10:I10"/>
    <mergeCell ref="E12:I12"/>
    <mergeCell ref="E13:I13"/>
    <mergeCell ref="E14:I14"/>
    <mergeCell ref="E18:I18"/>
    <mergeCell ref="E19:I19"/>
    <mergeCell ref="E23:I23"/>
    <mergeCell ref="E16:I16"/>
    <mergeCell ref="E15:I15"/>
  </mergeCells>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88E4FEB44D0B4CB1AD2E9A3A83F076" ma:contentTypeVersion="14" ma:contentTypeDescription="Create a new document." ma:contentTypeScope="" ma:versionID="b4f164349a989e0ee2cfb61c4e43157f">
  <xsd:schema xmlns:xsd="http://www.w3.org/2001/XMLSchema" xmlns:xs="http://www.w3.org/2001/XMLSchema" xmlns:p="http://schemas.microsoft.com/office/2006/metadata/properties" xmlns:ns2="8baa01ab-7cf8-4360-9f3f-f87b1ec95c26" xmlns:ns3="d481fc2a-e230-47f7-a716-4f7f4b27a8e6" targetNamespace="http://schemas.microsoft.com/office/2006/metadata/properties" ma:root="true" ma:fieldsID="4f3bd62b298e0de726dff26578013eb0" ns2:_="" ns3:_="">
    <xsd:import namespace="8baa01ab-7cf8-4360-9f3f-f87b1ec95c26"/>
    <xsd:import namespace="d481fc2a-e230-47f7-a716-4f7f4b27a8e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aa01ab-7cf8-4360-9f3f-f87b1ec95c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834da80-57da-4863-8816-2e6886d1e86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81fc2a-e230-47f7-a716-4f7f4b27a8e6"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cfc5ee6-7d58-48d6-9bdd-8a371e73af6e}" ma:internalName="TaxCatchAll" ma:showField="CatchAllData" ma:web="d481fc2a-e230-47f7-a716-4f7f4b27a8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aa01ab-7cf8-4360-9f3f-f87b1ec95c26">
      <Terms xmlns="http://schemas.microsoft.com/office/infopath/2007/PartnerControls"/>
    </lcf76f155ced4ddcb4097134ff3c332f>
    <TaxCatchAll xmlns="d481fc2a-e230-47f7-a716-4f7f4b27a8e6" xsi:nil="true"/>
  </documentManagement>
</p:properties>
</file>

<file path=customXml/itemProps1.xml><?xml version="1.0" encoding="utf-8"?>
<ds:datastoreItem xmlns:ds="http://schemas.openxmlformats.org/officeDocument/2006/customXml" ds:itemID="{5F5F48CB-4532-42E2-BB30-0FD37B731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aa01ab-7cf8-4360-9f3f-f87b1ec95c26"/>
    <ds:schemaRef ds:uri="d481fc2a-e230-47f7-a716-4f7f4b27a8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E0D331-ECCB-4AE9-B655-3C3F1F6D078E}">
  <ds:schemaRefs>
    <ds:schemaRef ds:uri="http://schemas.microsoft.com/sharepoint/v3/contenttype/forms"/>
  </ds:schemaRefs>
</ds:datastoreItem>
</file>

<file path=customXml/itemProps3.xml><?xml version="1.0" encoding="utf-8"?>
<ds:datastoreItem xmlns:ds="http://schemas.openxmlformats.org/officeDocument/2006/customXml" ds:itemID="{68EEA484-CB5A-4AB4-A960-FA60C0A24083}">
  <ds:schemaRefs>
    <ds:schemaRef ds:uri="http://schemas.microsoft.com/office/2006/metadata/properties"/>
    <ds:schemaRef ds:uri="http://schemas.microsoft.com/office/infopath/2007/PartnerControls"/>
    <ds:schemaRef ds:uri="8baa01ab-7cf8-4360-9f3f-f87b1ec95c26"/>
    <ds:schemaRef ds:uri="d481fc2a-e230-47f7-a716-4f7f4b27a8e6"/>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Herteleer</dc:creator>
  <cp:lastModifiedBy>dylanhess17@outlook.com</cp:lastModifiedBy>
  <dcterms:created xsi:type="dcterms:W3CDTF">2025-09-19T10:53:54Z</dcterms:created>
  <dcterms:modified xsi:type="dcterms:W3CDTF">2026-02-13T03:19:01Z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0x010100A788E4FEB44D0B4CB1AD2E9A3A83F076</vt:lpwstr>
  </property>
  <property fmtid="{D5CDD505-2E9C-101B-9397-08002B2CF9AE}" pid="3" name="MediaServiceImageTags">
    <vt:lpwstr/>
  </property>
</Properties>
</file>